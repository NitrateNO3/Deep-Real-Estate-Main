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workbookPassword="8E1A" lockStructure="1"/>
  <bookViews>
    <workbookView xWindow="240" yWindow="60" windowWidth="20115" windowHeight="8010"/>
  </bookViews>
  <sheets>
    <sheet name="JUly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O39" i="1" l="1"/>
  <c r="N39" i="1"/>
  <c r="L39" i="1"/>
  <c r="J39" i="1"/>
  <c r="O38" i="1"/>
  <c r="N38" i="1"/>
  <c r="M38" i="1"/>
  <c r="L38" i="1"/>
  <c r="K38" i="1"/>
  <c r="J38" i="1"/>
  <c r="K17" i="1"/>
  <c r="M17" i="1" s="1"/>
  <c r="O17" i="1" s="1"/>
  <c r="M16" i="1"/>
  <c r="O16" i="1" s="1"/>
  <c r="K16" i="1"/>
  <c r="K15" i="1"/>
  <c r="M15" i="1" s="1"/>
  <c r="O15" i="1" s="1"/>
  <c r="M14" i="1"/>
  <c r="O14" i="1" s="1"/>
  <c r="K14" i="1"/>
  <c r="K13" i="1"/>
  <c r="M13" i="1" s="1"/>
  <c r="O13" i="1" s="1"/>
  <c r="M12" i="1"/>
  <c r="O12" i="1" s="1"/>
  <c r="K12" i="1"/>
  <c r="K11" i="1"/>
  <c r="M11" i="1" s="1"/>
  <c r="O11" i="1" s="1"/>
  <c r="M10" i="1"/>
  <c r="O10" i="1" s="1"/>
  <c r="K10" i="1"/>
  <c r="K9" i="1"/>
  <c r="M9" i="1" s="1"/>
  <c r="O9" i="1" s="1"/>
  <c r="I38" i="1"/>
  <c r="R33" i="1"/>
  <c r="R34" i="1"/>
  <c r="P8" i="1"/>
  <c r="S8" i="1" s="1"/>
  <c r="R11" i="1"/>
  <c r="R12" i="1" s="1"/>
  <c r="R9" i="1"/>
  <c r="R10" i="1" s="1"/>
  <c r="R8" i="1"/>
  <c r="R7" i="1"/>
  <c r="S7" i="1"/>
  <c r="K8" i="1"/>
  <c r="M8" i="1" s="1"/>
  <c r="O8" i="1" s="1"/>
  <c r="K7" i="1"/>
  <c r="M7" i="1" s="1"/>
  <c r="O7" i="1" s="1"/>
  <c r="P9" i="1" l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R35" i="1"/>
  <c r="S10" i="1"/>
  <c r="R13" i="1"/>
  <c r="S9" i="1"/>
  <c r="P34" i="1" l="1"/>
  <c r="S33" i="1"/>
  <c r="R36" i="1"/>
  <c r="S11" i="1"/>
  <c r="R14" i="1"/>
  <c r="P35" i="1" l="1"/>
  <c r="S34" i="1"/>
  <c r="R37" i="1"/>
  <c r="S12" i="1"/>
  <c r="R15" i="1"/>
  <c r="P36" i="1" l="1"/>
  <c r="S35" i="1"/>
  <c r="R38" i="1"/>
  <c r="S13" i="1"/>
  <c r="R16" i="1"/>
  <c r="P37" i="1" l="1"/>
  <c r="S36" i="1"/>
  <c r="S14" i="1"/>
  <c r="R17" i="1"/>
  <c r="P38" i="1" l="1"/>
  <c r="S38" i="1" s="1"/>
  <c r="S37" i="1"/>
  <c r="S15" i="1"/>
  <c r="R18" i="1"/>
  <c r="S16" i="1" l="1"/>
  <c r="R19" i="1"/>
  <c r="S17" i="1" l="1"/>
  <c r="R20" i="1"/>
  <c r="S18" i="1" l="1"/>
  <c r="R21" i="1"/>
  <c r="S19" i="1" l="1"/>
  <c r="R22" i="1"/>
  <c r="S20" i="1" l="1"/>
  <c r="R23" i="1"/>
  <c r="S21" i="1" l="1"/>
  <c r="R24" i="1"/>
  <c r="S22" i="1" l="1"/>
  <c r="R25" i="1"/>
  <c r="S23" i="1" l="1"/>
  <c r="R26" i="1"/>
  <c r="S24" i="1" l="1"/>
  <c r="R27" i="1"/>
  <c r="S25" i="1" l="1"/>
  <c r="R28" i="1"/>
  <c r="S26" i="1" l="1"/>
  <c r="R29" i="1"/>
  <c r="S27" i="1" l="1"/>
  <c r="R30" i="1"/>
  <c r="S28" i="1" l="1"/>
  <c r="R31" i="1"/>
  <c r="S29" i="1" l="1"/>
  <c r="R32" i="1"/>
  <c r="S30" i="1" l="1"/>
  <c r="S32" i="1" l="1"/>
  <c r="S31" i="1"/>
</calcChain>
</file>

<file path=xl/sharedStrings.xml><?xml version="1.0" encoding="utf-8"?>
<sst xmlns="http://schemas.openxmlformats.org/spreadsheetml/2006/main" count="26" uniqueCount="24">
  <si>
    <t>AADI CARE INDIA PVT LTD</t>
  </si>
  <si>
    <t>DAILY CONTRIBUTION REPORT FOR THE MONTH OF JULY-2022</t>
  </si>
  <si>
    <t>Date</t>
  </si>
  <si>
    <t>Destination</t>
  </si>
  <si>
    <t>GGN</t>
  </si>
  <si>
    <t>Mumbai</t>
  </si>
  <si>
    <t>Hyd</t>
  </si>
  <si>
    <t>Bangluru</t>
  </si>
  <si>
    <t>Chennai</t>
  </si>
  <si>
    <t>Kolatta</t>
  </si>
  <si>
    <t>Others</t>
  </si>
  <si>
    <t>Total</t>
  </si>
  <si>
    <t>R-1</t>
  </si>
  <si>
    <t>Salary &amp; Staff Exp Incl TRv + Boarding Loadging</t>
  </si>
  <si>
    <t>R-2</t>
  </si>
  <si>
    <t>Other Overhead</t>
  </si>
  <si>
    <t>R-3</t>
  </si>
  <si>
    <t>Fixed Over Head- Rent</t>
  </si>
  <si>
    <t>Contribution</t>
  </si>
  <si>
    <t>Target Session- Cum</t>
  </si>
  <si>
    <t>Actual</t>
  </si>
  <si>
    <t>Short/ Excess</t>
  </si>
  <si>
    <t>Completed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</si>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</sst>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5" formatCode="_ * #,##0_ ;_ * \-#,##0_ ;_ * &quot;-&quot;??_ ;_ @_ "/>
    <numFmt numFmtId="169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5" fontId="0" fillId="0" borderId="0" xfId="1" applyNumberFormat="1" applyFont="1"/>
    <xf numFmtId="15" fontId="0" fillId="0" borderId="1" xfId="0" applyNumberFormat="1" applyBorder="1"/>
    <xf numFmtId="165" fontId="0" fillId="0" borderId="1" xfId="1" applyNumberFormat="1" applyFont="1" applyBorder="1"/>
    <xf numFmtId="165" fontId="0" fillId="0" borderId="1" xfId="0" applyNumberFormat="1" applyBorder="1"/>
    <xf numFmtId="169" fontId="0" fillId="0" borderId="1" xfId="1" applyNumberFormat="1" applyFont="1" applyBorder="1"/>
    <xf numFmtId="165" fontId="2" fillId="0" borderId="1" xfId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65" fontId="0" fillId="0" borderId="1" xfId="0" applyNumberFormat="1" applyFill="1" applyBorder="1"/>
    <xf numFmtId="169" fontId="0" fillId="0" borderId="1" xfId="0" applyNumberFormat="1" applyBorder="1"/>
    <xf numFmtId="165" fontId="2" fillId="0" borderId="1" xfId="1" applyNumberFormat="1" applyFont="1" applyFill="1" applyBorder="1" applyAlignment="1">
      <alignment horizontal="center" vertical="center" wrapText="1"/>
    </xf>
    <xf numFmtId="9" fontId="0" fillId="0" borderId="0" xfId="2" applyFont="1"/>
    <xf numFmtId="10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workbookViewId="0">
      <selection activeCell="P7" sqref="P7"/>
    </sheetView>
  </sheetViews>
  <sheetFormatPr defaultRowHeight="15" x14ac:dyDescent="0.25"/>
  <cols>
    <col min="9" max="9" width="11.5703125" style="8" bestFit="1" customWidth="1"/>
    <col min="10" max="10" width="11.85546875" bestFit="1" customWidth="1"/>
    <col min="11" max="12" width="10" bestFit="1" customWidth="1"/>
    <col min="13" max="13" width="10.7109375" bestFit="1" customWidth="1"/>
    <col min="14" max="14" width="10" bestFit="1" customWidth="1"/>
    <col min="15" max="15" width="10.7109375" bestFit="1" customWidth="1"/>
    <col min="16" max="16" width="9.140625" style="8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 x14ac:dyDescent="0.25">
      <c r="A3" t="s">
        <v>1</v>
      </c>
      <c r="H3" t="s">
        <v>23</v>
      </c>
    </row>
    <row r="5" spans="1:19" x14ac:dyDescent="0.25">
      <c r="A5" s="6" t="s">
        <v>2</v>
      </c>
      <c r="B5" s="5" t="s">
        <v>3</v>
      </c>
      <c r="C5" s="5"/>
      <c r="D5" s="5"/>
      <c r="E5" s="5"/>
      <c r="F5" s="5"/>
      <c r="G5" s="5"/>
      <c r="H5" s="5"/>
      <c r="I5" s="5"/>
      <c r="J5" s="7" t="s">
        <v>18</v>
      </c>
      <c r="K5" s="7"/>
      <c r="L5" s="7"/>
      <c r="M5" s="7"/>
      <c r="N5" s="7"/>
      <c r="O5" s="7"/>
    </row>
    <row r="6" spans="1:19" ht="75" x14ac:dyDescent="0.25">
      <c r="A6" s="2">
        <v>44743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13" t="s">
        <v>11</v>
      </c>
      <c r="J6" s="4" t="s">
        <v>17</v>
      </c>
      <c r="K6" s="3" t="s">
        <v>12</v>
      </c>
      <c r="L6" s="4" t="s">
        <v>13</v>
      </c>
      <c r="M6" s="3" t="s">
        <v>14</v>
      </c>
      <c r="N6" s="4" t="s">
        <v>15</v>
      </c>
      <c r="O6" s="3" t="s">
        <v>16</v>
      </c>
      <c r="P6" s="18" t="s">
        <v>19</v>
      </c>
      <c r="Q6" s="14" t="s">
        <v>22</v>
      </c>
      <c r="R6" s="15" t="s">
        <v>20</v>
      </c>
      <c r="S6" s="14" t="s">
        <v>21</v>
      </c>
    </row>
    <row r="7" spans="1:19" x14ac:dyDescent="0.25">
      <c r="A7" s="9">
        <v>44743</v>
      </c>
      <c r="B7" s="6">
        <v>25000</v>
      </c>
      <c r="C7" s="6">
        <v>70000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10">
        <v>107000</v>
      </c>
      <c r="J7" s="10">
        <v>10000</v>
      </c>
      <c r="K7" s="11">
        <f>I7-J7</f>
        <v>97000</v>
      </c>
      <c r="L7" s="6">
        <v>28000</v>
      </c>
      <c r="M7" s="11">
        <f>K7-L7</f>
        <v>69000</v>
      </c>
      <c r="N7" s="6">
        <v>10000</v>
      </c>
      <c r="O7" s="11">
        <f>M7-N7</f>
        <v>59000</v>
      </c>
      <c r="P7" s="10" t="s">
        <v>23</v>
      </c>
      <c r="Q7" s="16">
        <v>5</v>
      </c>
      <c r="R7" s="16">
        <f>Q7</f>
        <v>5</v>
      </c>
      <c r="S7" s="17" t="e">
        <f>R7-P7</f>
        <v>#VALUE!</v>
      </c>
    </row>
    <row r="8" spans="1:19" x14ac:dyDescent="0.25">
      <c r="A8" s="9">
        <v>44744</v>
      </c>
      <c r="B8" s="6">
        <v>0</v>
      </c>
      <c r="C8" s="6">
        <v>20000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10">
        <v>35000</v>
      </c>
      <c r="J8" s="12">
        <v>10000</v>
      </c>
      <c r="K8" s="12">
        <f>I8-J8</f>
        <v>25000</v>
      </c>
      <c r="L8" s="12">
        <v>28000</v>
      </c>
      <c r="M8" s="12">
        <f>K8-L8</f>
        <v>-3000</v>
      </c>
      <c r="N8" s="12">
        <v>10000</v>
      </c>
      <c r="O8" s="12">
        <f>M8-N8</f>
        <v>-13000</v>
      </c>
      <c r="P8" s="10" t="e">
        <f>P7+$P$7</f>
        <v>#VALUE!</v>
      </c>
      <c r="Q8" s="6">
        <v>4</v>
      </c>
      <c r="R8" s="11">
        <f>Q8+R7</f>
        <v>9</v>
      </c>
      <c r="S8" s="17" t="e">
        <f>R8-P8</f>
        <v>#VALUE!</v>
      </c>
    </row>
    <row r="9" spans="1:19" x14ac:dyDescent="0.25">
      <c r="A9" s="9">
        <v>44745</v>
      </c>
      <c r="B9" s="6"/>
      <c r="C9" s="6"/>
      <c r="D9" s="6"/>
      <c r="E9" s="6"/>
      <c r="F9" s="6"/>
      <c r="G9" s="6"/>
      <c r="H9" s="6"/>
      <c r="I9" s="10">
        <v>173500</v>
      </c>
      <c r="J9" s="12">
        <v>10000</v>
      </c>
      <c r="K9" s="12">
        <f t="shared" ref="K9:K17" si="0">I9-J9</f>
        <v>163500</v>
      </c>
      <c r="L9" s="12">
        <v>28000</v>
      </c>
      <c r="M9" s="12">
        <f t="shared" ref="M9:M17" si="1">K9-L9</f>
        <v>135500</v>
      </c>
      <c r="N9" s="12">
        <v>10000</v>
      </c>
      <c r="O9" s="12">
        <f t="shared" ref="O9:O17" si="2">M9-N9</f>
        <v>125500</v>
      </c>
      <c r="P9" s="10" t="e">
        <f t="shared" ref="P9:P32" si="3">P8+$P$7</f>
        <v>#VALUE!</v>
      </c>
      <c r="Q9" s="6">
        <v>6</v>
      </c>
      <c r="R9" s="11">
        <f t="shared" ref="R9:R32" si="4">Q9+R8</f>
        <v>15</v>
      </c>
      <c r="S9" s="17" t="e">
        <f>R9-P9</f>
        <v>#VALUE!</v>
      </c>
    </row>
    <row r="10" spans="1:19" x14ac:dyDescent="0.25">
      <c r="A10" s="9">
        <v>44746</v>
      </c>
      <c r="B10" s="6"/>
      <c r="C10" s="6"/>
      <c r="D10" s="6"/>
      <c r="E10" s="6"/>
      <c r="F10" s="6"/>
      <c r="G10" s="6"/>
      <c r="H10" s="6"/>
      <c r="I10" s="10">
        <v>63000</v>
      </c>
      <c r="J10" s="12">
        <v>10000</v>
      </c>
      <c r="K10" s="12">
        <f t="shared" si="0"/>
        <v>53000</v>
      </c>
      <c r="L10" s="12">
        <v>28000</v>
      </c>
      <c r="M10" s="12">
        <f t="shared" si="1"/>
        <v>25000</v>
      </c>
      <c r="N10" s="12">
        <v>10000</v>
      </c>
      <c r="O10" s="12">
        <f t="shared" si="2"/>
        <v>15000</v>
      </c>
      <c r="P10" s="10" t="e">
        <f t="shared" si="3"/>
        <v>#VALUE!</v>
      </c>
      <c r="Q10" s="6">
        <v>3</v>
      </c>
      <c r="R10" s="11">
        <f t="shared" si="4"/>
        <v>18</v>
      </c>
      <c r="S10" s="17" t="e">
        <f>R10-P10</f>
        <v>#VALUE!</v>
      </c>
    </row>
    <row r="11" spans="1:19" x14ac:dyDescent="0.25">
      <c r="A11" s="9">
        <v>44747</v>
      </c>
      <c r="B11" s="6"/>
      <c r="C11" s="6"/>
      <c r="D11" s="6"/>
      <c r="E11" s="6"/>
      <c r="F11" s="6"/>
      <c r="G11" s="6"/>
      <c r="H11" s="6"/>
      <c r="I11" s="10">
        <v>30000</v>
      </c>
      <c r="J11" s="12">
        <v>10000</v>
      </c>
      <c r="K11" s="12">
        <f t="shared" si="0"/>
        <v>20000</v>
      </c>
      <c r="L11" s="12">
        <v>28000</v>
      </c>
      <c r="M11" s="12">
        <f t="shared" si="1"/>
        <v>-8000</v>
      </c>
      <c r="N11" s="12">
        <v>10000</v>
      </c>
      <c r="O11" s="12">
        <f t="shared" si="2"/>
        <v>-18000</v>
      </c>
      <c r="P11" s="10" t="e">
        <f t="shared" si="3"/>
        <v>#VALUE!</v>
      </c>
      <c r="Q11" s="6">
        <v>1</v>
      </c>
      <c r="R11" s="11">
        <f t="shared" si="4"/>
        <v>19</v>
      </c>
      <c r="S11" s="17" t="e">
        <f t="shared" ref="S11:S32" si="5">R11-P11</f>
        <v>#VALUE!</v>
      </c>
    </row>
    <row r="12" spans="1:19" x14ac:dyDescent="0.25">
      <c r="A12" s="9">
        <v>44748</v>
      </c>
      <c r="B12" s="6"/>
      <c r="C12" s="6"/>
      <c r="D12" s="6"/>
      <c r="E12" s="6"/>
      <c r="F12" s="6"/>
      <c r="G12" s="6"/>
      <c r="H12" s="6"/>
      <c r="I12" s="10">
        <v>134000</v>
      </c>
      <c r="J12" s="12">
        <v>10000</v>
      </c>
      <c r="K12" s="12">
        <f t="shared" si="0"/>
        <v>124000</v>
      </c>
      <c r="L12" s="12">
        <v>28000</v>
      </c>
      <c r="M12" s="12">
        <f t="shared" si="1"/>
        <v>96000</v>
      </c>
      <c r="N12" s="12">
        <v>10000</v>
      </c>
      <c r="O12" s="12">
        <f t="shared" si="2"/>
        <v>86000</v>
      </c>
      <c r="P12" s="10" t="e">
        <f t="shared" si="3"/>
        <v>#VALUE!</v>
      </c>
      <c r="Q12" s="6">
        <v>7</v>
      </c>
      <c r="R12" s="11">
        <f t="shared" si="4"/>
        <v>26</v>
      </c>
      <c r="S12" s="17" t="e">
        <f t="shared" si="5"/>
        <v>#VALUE!</v>
      </c>
    </row>
    <row r="13" spans="1:19" x14ac:dyDescent="0.25">
      <c r="A13" s="9">
        <v>44749</v>
      </c>
      <c r="B13" s="6"/>
      <c r="C13" s="6"/>
      <c r="D13" s="6"/>
      <c r="E13" s="6"/>
      <c r="F13" s="6"/>
      <c r="G13" s="6"/>
      <c r="H13" s="6"/>
      <c r="I13" s="10">
        <v>34000</v>
      </c>
      <c r="J13" s="12">
        <v>10000</v>
      </c>
      <c r="K13" s="12">
        <f t="shared" si="0"/>
        <v>24000</v>
      </c>
      <c r="L13" s="12">
        <v>28000</v>
      </c>
      <c r="M13" s="12">
        <f t="shared" si="1"/>
        <v>-4000</v>
      </c>
      <c r="N13" s="12">
        <v>10000</v>
      </c>
      <c r="O13" s="12">
        <f t="shared" si="2"/>
        <v>-14000</v>
      </c>
      <c r="P13" s="10" t="e">
        <f t="shared" si="3"/>
        <v>#VALUE!</v>
      </c>
      <c r="Q13" s="6">
        <v>3</v>
      </c>
      <c r="R13" s="11">
        <f t="shared" si="4"/>
        <v>29</v>
      </c>
      <c r="S13" s="17" t="e">
        <f t="shared" si="5"/>
        <v>#VALUE!</v>
      </c>
    </row>
    <row r="14" spans="1:19" x14ac:dyDescent="0.25">
      <c r="A14" s="9">
        <v>44750</v>
      </c>
      <c r="B14" s="6"/>
      <c r="C14" s="6"/>
      <c r="D14" s="6"/>
      <c r="E14" s="6"/>
      <c r="F14" s="6"/>
      <c r="G14" s="6"/>
      <c r="H14" s="6"/>
      <c r="I14" s="10">
        <v>45000</v>
      </c>
      <c r="J14" s="12">
        <v>10000</v>
      </c>
      <c r="K14" s="12">
        <f t="shared" si="0"/>
        <v>35000</v>
      </c>
      <c r="L14" s="12">
        <v>28000</v>
      </c>
      <c r="M14" s="12">
        <f t="shared" si="1"/>
        <v>7000</v>
      </c>
      <c r="N14" s="12">
        <v>10000</v>
      </c>
      <c r="O14" s="12">
        <f t="shared" si="2"/>
        <v>-3000</v>
      </c>
      <c r="P14" s="10" t="e">
        <f t="shared" si="3"/>
        <v>#VALUE!</v>
      </c>
      <c r="Q14" s="6">
        <v>2</v>
      </c>
      <c r="R14" s="11">
        <f t="shared" si="4"/>
        <v>31</v>
      </c>
      <c r="S14" s="17" t="e">
        <f t="shared" si="5"/>
        <v>#VALUE!</v>
      </c>
    </row>
    <row r="15" spans="1:19" x14ac:dyDescent="0.25">
      <c r="A15" s="9">
        <v>44751</v>
      </c>
      <c r="B15" s="6"/>
      <c r="C15" s="6"/>
      <c r="D15" s="6"/>
      <c r="E15" s="6"/>
      <c r="F15" s="6"/>
      <c r="G15" s="6"/>
      <c r="H15" s="6"/>
      <c r="I15" s="10">
        <v>58000</v>
      </c>
      <c r="J15" s="12">
        <v>10000</v>
      </c>
      <c r="K15" s="12">
        <f t="shared" si="0"/>
        <v>48000</v>
      </c>
      <c r="L15" s="12">
        <v>28000</v>
      </c>
      <c r="M15" s="12">
        <f t="shared" si="1"/>
        <v>20000</v>
      </c>
      <c r="N15" s="12">
        <v>10000</v>
      </c>
      <c r="O15" s="12">
        <f t="shared" si="2"/>
        <v>10000</v>
      </c>
      <c r="P15" s="10" t="e">
        <f t="shared" si="3"/>
        <v>#VALUE!</v>
      </c>
      <c r="Q15" s="6">
        <v>3</v>
      </c>
      <c r="R15" s="11">
        <f t="shared" si="4"/>
        <v>34</v>
      </c>
      <c r="S15" s="17" t="e">
        <f t="shared" si="5"/>
        <v>#VALUE!</v>
      </c>
    </row>
    <row r="16" spans="1:19" x14ac:dyDescent="0.25">
      <c r="A16" s="9">
        <v>44752</v>
      </c>
      <c r="B16" s="6"/>
      <c r="C16" s="6"/>
      <c r="D16" s="6"/>
      <c r="E16" s="6"/>
      <c r="F16" s="6"/>
      <c r="G16" s="6"/>
      <c r="H16" s="6"/>
      <c r="I16" s="10">
        <v>6000</v>
      </c>
      <c r="J16" s="12">
        <v>10000</v>
      </c>
      <c r="K16" s="12">
        <f t="shared" si="0"/>
        <v>-4000</v>
      </c>
      <c r="L16" s="12">
        <v>28000</v>
      </c>
      <c r="M16" s="12">
        <f t="shared" si="1"/>
        <v>-32000</v>
      </c>
      <c r="N16" s="12">
        <v>10000</v>
      </c>
      <c r="O16" s="12">
        <f t="shared" si="2"/>
        <v>-42000</v>
      </c>
      <c r="P16" s="10" t="e">
        <f t="shared" si="3"/>
        <v>#VALUE!</v>
      </c>
      <c r="Q16" s="6">
        <v>1</v>
      </c>
      <c r="R16" s="11">
        <f t="shared" si="4"/>
        <v>35</v>
      </c>
      <c r="S16" s="17" t="e">
        <f t="shared" si="5"/>
        <v>#VALUE!</v>
      </c>
    </row>
    <row r="17" spans="1:19" x14ac:dyDescent="0.25">
      <c r="A17" s="9">
        <v>44753</v>
      </c>
      <c r="B17" s="6"/>
      <c r="C17" s="6"/>
      <c r="D17" s="6"/>
      <c r="E17" s="6"/>
      <c r="F17" s="6"/>
      <c r="G17" s="6"/>
      <c r="H17" s="6"/>
      <c r="I17" s="10">
        <v>60250</v>
      </c>
      <c r="J17" s="12">
        <v>10000</v>
      </c>
      <c r="K17" s="12">
        <f t="shared" si="0"/>
        <v>50250</v>
      </c>
      <c r="L17" s="12">
        <v>28000</v>
      </c>
      <c r="M17" s="12">
        <f t="shared" si="1"/>
        <v>22250</v>
      </c>
      <c r="N17" s="12">
        <v>10000</v>
      </c>
      <c r="O17" s="12">
        <f t="shared" si="2"/>
        <v>12250</v>
      </c>
      <c r="P17" s="10" t="e">
        <f t="shared" si="3"/>
        <v>#VALUE!</v>
      </c>
      <c r="Q17" s="6">
        <v>3</v>
      </c>
      <c r="R17" s="11">
        <f t="shared" si="4"/>
        <v>38</v>
      </c>
      <c r="S17" s="17" t="e">
        <f t="shared" si="5"/>
        <v>#VALUE!</v>
      </c>
    </row>
    <row r="18" spans="1:19" x14ac:dyDescent="0.25">
      <c r="A18" s="9">
        <v>44754</v>
      </c>
      <c r="B18" s="6"/>
      <c r="C18" s="6"/>
      <c r="D18" s="6"/>
      <c r="E18" s="6"/>
      <c r="F18" s="6"/>
      <c r="G18" s="6"/>
      <c r="H18" s="6"/>
      <c r="I18" s="10"/>
      <c r="J18" s="6"/>
      <c r="K18" s="6"/>
      <c r="L18" s="6"/>
      <c r="M18" s="6"/>
      <c r="N18" s="6"/>
      <c r="O18" s="6"/>
      <c r="P18" s="10" t="e">
        <f t="shared" si="3"/>
        <v>#VALUE!</v>
      </c>
      <c r="Q18" s="6">
        <v>4</v>
      </c>
      <c r="R18" s="11">
        <f t="shared" si="4"/>
        <v>42</v>
      </c>
      <c r="S18" s="17" t="e">
        <f t="shared" si="5"/>
        <v>#VALUE!</v>
      </c>
    </row>
    <row r="19" spans="1:19" x14ac:dyDescent="0.25">
      <c r="A19" s="9">
        <v>44755</v>
      </c>
      <c r="B19" s="6"/>
      <c r="C19" s="6"/>
      <c r="D19" s="6"/>
      <c r="E19" s="6"/>
      <c r="F19" s="6"/>
      <c r="G19" s="6"/>
      <c r="H19" s="6"/>
      <c r="I19" s="10"/>
      <c r="J19" s="6"/>
      <c r="K19" s="6"/>
      <c r="L19" s="6"/>
      <c r="M19" s="6"/>
      <c r="N19" s="6"/>
      <c r="O19" s="6"/>
      <c r="P19" s="10" t="e">
        <f t="shared" si="3"/>
        <v>#VALUE!</v>
      </c>
      <c r="Q19" s="6"/>
      <c r="R19" s="11">
        <f t="shared" si="4"/>
        <v>42</v>
      </c>
      <c r="S19" s="17" t="e">
        <f t="shared" si="5"/>
        <v>#VALUE!</v>
      </c>
    </row>
    <row r="20" spans="1:19" x14ac:dyDescent="0.25">
      <c r="A20" s="9">
        <v>44756</v>
      </c>
      <c r="B20" s="6"/>
      <c r="C20" s="6"/>
      <c r="D20" s="6"/>
      <c r="E20" s="6"/>
      <c r="F20" s="6"/>
      <c r="G20" s="6"/>
      <c r="H20" s="6"/>
      <c r="I20" s="10"/>
      <c r="J20" s="6"/>
      <c r="K20" s="6"/>
      <c r="L20" s="6"/>
      <c r="M20" s="6"/>
      <c r="N20" s="6"/>
      <c r="O20" s="6"/>
      <c r="P20" s="10" t="e">
        <f t="shared" si="3"/>
        <v>#VALUE!</v>
      </c>
      <c r="Q20" s="6"/>
      <c r="R20" s="11">
        <f t="shared" si="4"/>
        <v>42</v>
      </c>
      <c r="S20" s="17" t="e">
        <f t="shared" si="5"/>
        <v>#VALUE!</v>
      </c>
    </row>
    <row r="21" spans="1:19" x14ac:dyDescent="0.25">
      <c r="A21" s="9">
        <v>44757</v>
      </c>
      <c r="B21" s="6"/>
      <c r="C21" s="6"/>
      <c r="D21" s="6"/>
      <c r="E21" s="6"/>
      <c r="F21" s="6"/>
      <c r="G21" s="6"/>
      <c r="H21" s="6"/>
      <c r="I21" s="10"/>
      <c r="J21" s="6"/>
      <c r="K21" s="6"/>
      <c r="L21" s="6"/>
      <c r="M21" s="6"/>
      <c r="N21" s="6"/>
      <c r="O21" s="6"/>
      <c r="P21" s="10" t="e">
        <f t="shared" si="3"/>
        <v>#VALUE!</v>
      </c>
      <c r="Q21" s="6"/>
      <c r="R21" s="11">
        <f t="shared" si="4"/>
        <v>42</v>
      </c>
      <c r="S21" s="17" t="e">
        <f t="shared" si="5"/>
        <v>#VALUE!</v>
      </c>
    </row>
    <row r="22" spans="1:19" x14ac:dyDescent="0.25">
      <c r="A22" s="9">
        <v>44758</v>
      </c>
      <c r="B22" s="6"/>
      <c r="C22" s="6"/>
      <c r="D22" s="6"/>
      <c r="E22" s="6"/>
      <c r="F22" s="6"/>
      <c r="G22" s="6"/>
      <c r="H22" s="6"/>
      <c r="I22" s="10"/>
      <c r="J22" s="6"/>
      <c r="K22" s="6"/>
      <c r="L22" s="6"/>
      <c r="M22" s="6"/>
      <c r="N22" s="6"/>
      <c r="O22" s="6"/>
      <c r="P22" s="10" t="e">
        <f t="shared" si="3"/>
        <v>#VALUE!</v>
      </c>
      <c r="Q22" s="6"/>
      <c r="R22" s="11">
        <f t="shared" si="4"/>
        <v>42</v>
      </c>
      <c r="S22" s="17" t="e">
        <f t="shared" si="5"/>
        <v>#VALUE!</v>
      </c>
    </row>
    <row r="23" spans="1:19" x14ac:dyDescent="0.25">
      <c r="A23" s="9">
        <v>44759</v>
      </c>
      <c r="B23" s="6"/>
      <c r="C23" s="6"/>
      <c r="D23" s="6"/>
      <c r="E23" s="6"/>
      <c r="F23" s="6"/>
      <c r="G23" s="6"/>
      <c r="H23" s="6"/>
      <c r="I23" s="10"/>
      <c r="J23" s="6"/>
      <c r="K23" s="6"/>
      <c r="L23" s="6"/>
      <c r="M23" s="6"/>
      <c r="N23" s="6"/>
      <c r="O23" s="6"/>
      <c r="P23" s="10" t="e">
        <f t="shared" si="3"/>
        <v>#VALUE!</v>
      </c>
      <c r="Q23" s="6"/>
      <c r="R23" s="11">
        <f t="shared" si="4"/>
        <v>42</v>
      </c>
      <c r="S23" s="17" t="e">
        <f t="shared" si="5"/>
        <v>#VALUE!</v>
      </c>
    </row>
    <row r="24" spans="1:19" x14ac:dyDescent="0.25">
      <c r="A24" s="9">
        <v>44760</v>
      </c>
      <c r="B24" s="6"/>
      <c r="C24" s="6"/>
      <c r="D24" s="6"/>
      <c r="E24" s="6"/>
      <c r="F24" s="6"/>
      <c r="G24" s="6"/>
      <c r="H24" s="6"/>
      <c r="I24" s="10"/>
      <c r="J24" s="6"/>
      <c r="K24" s="6"/>
      <c r="L24" s="6"/>
      <c r="M24" s="6"/>
      <c r="N24" s="6"/>
      <c r="O24" s="6"/>
      <c r="P24" s="10" t="e">
        <f t="shared" si="3"/>
        <v>#VALUE!</v>
      </c>
      <c r="Q24" s="6"/>
      <c r="R24" s="11">
        <f t="shared" si="4"/>
        <v>42</v>
      </c>
      <c r="S24" s="17" t="e">
        <f t="shared" si="5"/>
        <v>#VALUE!</v>
      </c>
    </row>
    <row r="25" spans="1:19" x14ac:dyDescent="0.25">
      <c r="A25" s="9">
        <v>44761</v>
      </c>
      <c r="B25" s="6"/>
      <c r="C25" s="6"/>
      <c r="D25" s="6"/>
      <c r="E25" s="6"/>
      <c r="F25" s="6"/>
      <c r="G25" s="6"/>
      <c r="H25" s="6"/>
      <c r="I25" s="10"/>
      <c r="J25" s="6"/>
      <c r="K25" s="6"/>
      <c r="L25" s="6"/>
      <c r="M25" s="6"/>
      <c r="N25" s="6"/>
      <c r="O25" s="6"/>
      <c r="P25" s="10" t="e">
        <f t="shared" si="3"/>
        <v>#VALUE!</v>
      </c>
      <c r="Q25" s="6"/>
      <c r="R25" s="11">
        <f t="shared" si="4"/>
        <v>42</v>
      </c>
      <c r="S25" s="17" t="e">
        <f t="shared" si="5"/>
        <v>#VALUE!</v>
      </c>
    </row>
    <row r="26" spans="1:19" x14ac:dyDescent="0.25">
      <c r="A26" s="9">
        <v>44762</v>
      </c>
      <c r="B26" s="6"/>
      <c r="C26" s="6"/>
      <c r="D26" s="6"/>
      <c r="E26" s="6"/>
      <c r="F26" s="6"/>
      <c r="G26" s="6"/>
      <c r="H26" s="6"/>
      <c r="I26" s="10"/>
      <c r="J26" s="6"/>
      <c r="K26" s="6"/>
      <c r="L26" s="6"/>
      <c r="M26" s="6"/>
      <c r="N26" s="6"/>
      <c r="O26" s="6"/>
      <c r="P26" s="10" t="e">
        <f t="shared" si="3"/>
        <v>#VALUE!</v>
      </c>
      <c r="Q26" s="6"/>
      <c r="R26" s="11">
        <f t="shared" si="4"/>
        <v>42</v>
      </c>
      <c r="S26" s="17" t="e">
        <f t="shared" si="5"/>
        <v>#VALUE!</v>
      </c>
    </row>
    <row r="27" spans="1:19" x14ac:dyDescent="0.25">
      <c r="A27" s="9">
        <v>44763</v>
      </c>
      <c r="B27" s="6"/>
      <c r="C27" s="6"/>
      <c r="D27" s="6"/>
      <c r="E27" s="6"/>
      <c r="F27" s="6"/>
      <c r="G27" s="6"/>
      <c r="H27" s="6"/>
      <c r="I27" s="10"/>
      <c r="J27" s="6"/>
      <c r="K27" s="6"/>
      <c r="L27" s="6"/>
      <c r="M27" s="6"/>
      <c r="N27" s="6"/>
      <c r="O27" s="6"/>
      <c r="P27" s="10" t="e">
        <f t="shared" si="3"/>
        <v>#VALUE!</v>
      </c>
      <c r="Q27" s="6"/>
      <c r="R27" s="11">
        <f t="shared" si="4"/>
        <v>42</v>
      </c>
      <c r="S27" s="17" t="e">
        <f t="shared" si="5"/>
        <v>#VALUE!</v>
      </c>
    </row>
    <row r="28" spans="1:19" x14ac:dyDescent="0.25">
      <c r="A28" s="9">
        <v>44764</v>
      </c>
      <c r="B28" s="6"/>
      <c r="C28" s="6"/>
      <c r="D28" s="6"/>
      <c r="E28" s="6"/>
      <c r="F28" s="6"/>
      <c r="G28" s="6"/>
      <c r="H28" s="6"/>
      <c r="I28" s="10"/>
      <c r="J28" s="6"/>
      <c r="K28" s="6"/>
      <c r="L28" s="6"/>
      <c r="M28" s="6"/>
      <c r="N28" s="6"/>
      <c r="O28" s="6"/>
      <c r="P28" s="10" t="e">
        <f t="shared" si="3"/>
        <v>#VALUE!</v>
      </c>
      <c r="Q28" s="6"/>
      <c r="R28" s="11">
        <f t="shared" si="4"/>
        <v>42</v>
      </c>
      <c r="S28" s="17" t="e">
        <f t="shared" si="5"/>
        <v>#VALUE!</v>
      </c>
    </row>
    <row r="29" spans="1:19" x14ac:dyDescent="0.25">
      <c r="A29" s="9">
        <v>44765</v>
      </c>
      <c r="B29" s="6"/>
      <c r="C29" s="6"/>
      <c r="D29" s="6"/>
      <c r="E29" s="6"/>
      <c r="F29" s="6"/>
      <c r="G29" s="6"/>
      <c r="H29" s="6"/>
      <c r="I29" s="10"/>
      <c r="J29" s="6"/>
      <c r="K29" s="6"/>
      <c r="L29" s="6"/>
      <c r="M29" s="6"/>
      <c r="N29" s="6"/>
      <c r="O29" s="6"/>
      <c r="P29" s="10" t="e">
        <f t="shared" si="3"/>
        <v>#VALUE!</v>
      </c>
      <c r="Q29" s="6"/>
      <c r="R29" s="11">
        <f t="shared" si="4"/>
        <v>42</v>
      </c>
      <c r="S29" s="17" t="e">
        <f t="shared" si="5"/>
        <v>#VALUE!</v>
      </c>
    </row>
    <row r="30" spans="1:19" x14ac:dyDescent="0.25">
      <c r="A30" s="9">
        <v>44766</v>
      </c>
      <c r="B30" s="6"/>
      <c r="C30" s="6"/>
      <c r="D30" s="6"/>
      <c r="E30" s="6"/>
      <c r="F30" s="6"/>
      <c r="G30" s="6"/>
      <c r="H30" s="6"/>
      <c r="I30" s="10"/>
      <c r="J30" s="6"/>
      <c r="K30" s="6"/>
      <c r="L30" s="6"/>
      <c r="M30" s="6"/>
      <c r="N30" s="6"/>
      <c r="O30" s="6"/>
      <c r="P30" s="10" t="e">
        <f t="shared" si="3"/>
        <v>#VALUE!</v>
      </c>
      <c r="Q30" s="6"/>
      <c r="R30" s="11">
        <f t="shared" si="4"/>
        <v>42</v>
      </c>
      <c r="S30" s="17" t="e">
        <f t="shared" si="5"/>
        <v>#VALUE!</v>
      </c>
    </row>
    <row r="31" spans="1:19" x14ac:dyDescent="0.25">
      <c r="A31" s="9">
        <v>44767</v>
      </c>
      <c r="B31" s="6"/>
      <c r="C31" s="6"/>
      <c r="D31" s="6"/>
      <c r="E31" s="6"/>
      <c r="F31" s="6"/>
      <c r="G31" s="6"/>
      <c r="H31" s="6"/>
      <c r="I31" s="10"/>
      <c r="J31" s="6"/>
      <c r="K31" s="6"/>
      <c r="L31" s="6"/>
      <c r="M31" s="6"/>
      <c r="N31" s="6"/>
      <c r="O31" s="6"/>
      <c r="P31" s="10" t="e">
        <f t="shared" si="3"/>
        <v>#VALUE!</v>
      </c>
      <c r="Q31" s="6"/>
      <c r="R31" s="11">
        <f t="shared" si="4"/>
        <v>42</v>
      </c>
      <c r="S31" s="17" t="e">
        <f t="shared" si="5"/>
        <v>#VALUE!</v>
      </c>
    </row>
    <row r="32" spans="1:19" x14ac:dyDescent="0.25">
      <c r="A32" s="9">
        <v>44768</v>
      </c>
      <c r="B32" s="6"/>
      <c r="C32" s="6"/>
      <c r="D32" s="6"/>
      <c r="E32" s="6"/>
      <c r="F32" s="6"/>
      <c r="G32" s="6"/>
      <c r="H32" s="6"/>
      <c r="I32" s="10"/>
      <c r="J32" s="6"/>
      <c r="K32" s="6"/>
      <c r="L32" s="6"/>
      <c r="M32" s="6"/>
      <c r="N32" s="6"/>
      <c r="O32" s="6"/>
      <c r="P32" s="10" t="e">
        <f t="shared" si="3"/>
        <v>#VALUE!</v>
      </c>
      <c r="Q32" s="6"/>
      <c r="R32" s="11">
        <f t="shared" si="4"/>
        <v>42</v>
      </c>
      <c r="S32" s="17" t="e">
        <f t="shared" si="5"/>
        <v>#VALUE!</v>
      </c>
    </row>
    <row r="33" spans="1:19" x14ac:dyDescent="0.25">
      <c r="A33" s="9">
        <v>44769</v>
      </c>
      <c r="B33" s="6"/>
      <c r="C33" s="6"/>
      <c r="D33" s="6"/>
      <c r="E33" s="6"/>
      <c r="F33" s="6"/>
      <c r="G33" s="6"/>
      <c r="H33" s="6"/>
      <c r="I33" s="10"/>
      <c r="J33" s="6"/>
      <c r="K33" s="6"/>
      <c r="L33" s="6"/>
      <c r="M33" s="6"/>
      <c r="N33" s="6"/>
      <c r="O33" s="6"/>
      <c r="P33" s="10" t="e">
        <f t="shared" ref="P33:P38" si="6">P32+$P$7</f>
        <v>#VALUE!</v>
      </c>
      <c r="Q33" s="6"/>
      <c r="R33" s="11">
        <f t="shared" ref="R33:R38" si="7">Q33+R32</f>
        <v>42</v>
      </c>
      <c r="S33" s="17" t="e">
        <f t="shared" ref="S33:S38" si="8">R33-P33</f>
        <v>#VALUE!</v>
      </c>
    </row>
    <row r="34" spans="1:19" x14ac:dyDescent="0.25">
      <c r="A34" s="9">
        <v>44770</v>
      </c>
      <c r="B34" s="6"/>
      <c r="C34" s="6"/>
      <c r="D34" s="6"/>
      <c r="E34" s="6"/>
      <c r="F34" s="6"/>
      <c r="G34" s="6"/>
      <c r="H34" s="6"/>
      <c r="I34" s="10"/>
      <c r="J34" s="6"/>
      <c r="K34" s="6"/>
      <c r="L34" s="6"/>
      <c r="M34" s="6"/>
      <c r="N34" s="6"/>
      <c r="O34" s="6"/>
      <c r="P34" s="10" t="e">
        <f t="shared" si="6"/>
        <v>#VALUE!</v>
      </c>
      <c r="Q34" s="6"/>
      <c r="R34" s="11">
        <f t="shared" si="7"/>
        <v>42</v>
      </c>
      <c r="S34" s="17" t="e">
        <f t="shared" si="8"/>
        <v>#VALUE!</v>
      </c>
    </row>
    <row r="35" spans="1:19" x14ac:dyDescent="0.25">
      <c r="A35" s="9">
        <v>44771</v>
      </c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  <c r="P35" s="10" t="e">
        <f t="shared" si="6"/>
        <v>#VALUE!</v>
      </c>
      <c r="Q35" s="6"/>
      <c r="R35" s="11">
        <f t="shared" si="7"/>
        <v>42</v>
      </c>
      <c r="S35" s="17" t="e">
        <f t="shared" si="8"/>
        <v>#VALUE!</v>
      </c>
    </row>
    <row r="36" spans="1:19" x14ac:dyDescent="0.25">
      <c r="A36" s="9">
        <v>44772</v>
      </c>
      <c r="B36" s="6"/>
      <c r="C36" s="6"/>
      <c r="D36" s="6"/>
      <c r="E36" s="6"/>
      <c r="F36" s="6"/>
      <c r="G36" s="6"/>
      <c r="H36" s="6"/>
      <c r="I36" s="10"/>
      <c r="J36" s="6"/>
      <c r="K36" s="6"/>
      <c r="L36" s="6"/>
      <c r="M36" s="6"/>
      <c r="N36" s="6"/>
      <c r="O36" s="6"/>
      <c r="P36" s="10" t="e">
        <f t="shared" si="6"/>
        <v>#VALUE!</v>
      </c>
      <c r="Q36" s="6"/>
      <c r="R36" s="11">
        <f t="shared" si="7"/>
        <v>42</v>
      </c>
      <c r="S36" s="17" t="e">
        <f t="shared" si="8"/>
        <v>#VALUE!</v>
      </c>
    </row>
    <row r="37" spans="1:19" x14ac:dyDescent="0.25">
      <c r="A37" s="9">
        <v>44773</v>
      </c>
      <c r="B37" s="6"/>
      <c r="C37" s="6"/>
      <c r="D37" s="6"/>
      <c r="E37" s="6"/>
      <c r="F37" s="6"/>
      <c r="G37" s="6"/>
      <c r="H37" s="6"/>
      <c r="I37" s="10"/>
      <c r="J37" s="6"/>
      <c r="K37" s="6"/>
      <c r="L37" s="6"/>
      <c r="M37" s="6"/>
      <c r="N37" s="6"/>
      <c r="O37" s="6"/>
      <c r="P37" s="10" t="e">
        <f t="shared" si="6"/>
        <v>#VALUE!</v>
      </c>
      <c r="Q37" s="6"/>
      <c r="R37" s="11">
        <f t="shared" si="7"/>
        <v>42</v>
      </c>
      <c r="S37" s="17" t="e">
        <f t="shared" si="8"/>
        <v>#VALUE!</v>
      </c>
    </row>
    <row r="38" spans="1:19" x14ac:dyDescent="0.25">
      <c r="A38" s="9" t="s">
        <v>11</v>
      </c>
      <c r="B38" s="6"/>
      <c r="C38" s="6"/>
      <c r="D38" s="6"/>
      <c r="E38" s="6"/>
      <c r="F38" s="6"/>
      <c r="G38" s="6"/>
      <c r="H38" s="6"/>
      <c r="I38" s="12">
        <f>SUM(I7:I37)</f>
        <v>745750</v>
      </c>
      <c r="J38" s="12">
        <f t="shared" ref="J38:O38" si="9">SUM(J7:J37)</f>
        <v>110000</v>
      </c>
      <c r="K38" s="12">
        <f t="shared" si="9"/>
        <v>635750</v>
      </c>
      <c r="L38" s="12">
        <f t="shared" si="9"/>
        <v>308000</v>
      </c>
      <c r="M38" s="12">
        <f t="shared" si="9"/>
        <v>327750</v>
      </c>
      <c r="N38" s="12">
        <f t="shared" si="9"/>
        <v>110000</v>
      </c>
      <c r="O38" s="12">
        <f t="shared" si="9"/>
        <v>217750</v>
      </c>
      <c r="P38" s="10" t="e">
        <f t="shared" si="6"/>
        <v>#VALUE!</v>
      </c>
      <c r="Q38" s="6"/>
      <c r="R38" s="11">
        <f t="shared" si="7"/>
        <v>42</v>
      </c>
      <c r="S38" s="17" t="e">
        <f t="shared" si="8"/>
        <v>#VALUE!</v>
      </c>
    </row>
    <row r="39" spans="1:19" x14ac:dyDescent="0.25">
      <c r="A39" s="6"/>
      <c r="B39" s="6"/>
      <c r="C39" s="6"/>
      <c r="D39" s="6"/>
      <c r="E39" s="6"/>
      <c r="F39" s="6"/>
      <c r="G39" s="6"/>
      <c r="H39" s="6"/>
      <c r="I39" s="10"/>
      <c r="J39" s="20">
        <f>J38/I38</f>
        <v>0.14750251424740193</v>
      </c>
      <c r="K39" s="6"/>
      <c r="L39" s="20">
        <f>L38/I38</f>
        <v>0.41300703989272547</v>
      </c>
      <c r="M39" s="6"/>
      <c r="N39" s="20">
        <f>N38/I38</f>
        <v>0.14750251424740193</v>
      </c>
      <c r="O39" s="20">
        <f>O38/I38</f>
        <v>0.29198793161247066</v>
      </c>
    </row>
    <row r="40" spans="1:19" x14ac:dyDescent="0.25">
      <c r="N40" s="19"/>
    </row>
  </sheetData>
  <mergeCells count="3">
    <mergeCell ref="B5:I5"/>
    <mergeCell ref="J5:O5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बिजय कुमार द्विवेदी</dc:creator>
  <cp:lastModifiedBy>बिजय कुमार द्विवेदी</cp:lastModifiedBy>
  <dcterms:created xsi:type="dcterms:W3CDTF">2022-07-12T13:18:34Z</dcterms:created>
  <dcterms:modified xsi:type="dcterms:W3CDTF">2022-07-13T05:38:50Z</dcterms:modified>
</cp:coreProperties>
</file>